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ummary" sheetId="2" state="visible" r:id="rId4"/>
  </sheets>
  <definedNames>
    <definedName function="false" hidden="true" localSheetId="0" name="_xlnm._FilterDatabase" vbProcedure="false">Roadmap!$A$1:$F$20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<sst xmlns="http://schemas.openxmlformats.org/spreadsheetml/2006/main" count="111" uniqueCount="65">
  <si>
    <t xml:space="preserve">Phase</t>
  </si>
  <si>
    <t xml:space="preserve">Feature</t>
  </si>
  <si>
    <t xml:space="preserve">What it does</t>
  </si>
  <si>
    <t xml:space="preserve">Tool</t>
  </si>
  <si>
    <t xml:space="preserve">Status</t>
  </si>
  <si>
    <t xml:space="preserve">Notes</t>
  </si>
  <si>
    <t xml:space="preserve">Phase 1 – Core system</t>
  </si>
  <si>
    <t xml:space="preserve">Staff payment form</t>
  </si>
  <si>
    <t xml:space="preserve">Employees record payments without seeing fees, totals or other clients</t>
  </si>
  <si>
    <t xml:space="preserve">Google Forms</t>
  </si>
  <si>
    <t xml:space="preserve">Done</t>
  </si>
  <si>
    <t xml:space="preserve">Auto balances</t>
  </si>
  <si>
    <t xml:space="preserve">Billed, received and outstanding update on their own</t>
  </si>
  <si>
    <t xml:space="preserve">Google Sheets</t>
  </si>
  <si>
    <t xml:space="preserve">Owner dashboard</t>
  </si>
  <si>
    <t xml:space="preserve">Totals, this month's figures, cash/bank/UPI, outstanding by client</t>
  </si>
  <si>
    <t xml:space="preserve">Recurring charges</t>
  </si>
  <si>
    <t xml:space="preserve">Monthly and yearly fees are billed automatically every day at 6 AM</t>
  </si>
  <si>
    <t xml:space="preserve">n8n</t>
  </si>
  <si>
    <t xml:space="preserve">Double-billing guard</t>
  </si>
  <si>
    <t xml:space="preserve">The same charge can never be added twice</t>
  </si>
  <si>
    <t xml:space="preserve">Duplicate UTR check</t>
  </si>
  <si>
    <t xml:space="preserve">Flags the same payment reference entered twice</t>
  </si>
  <si>
    <t xml:space="preserve">Payment confirmation email</t>
  </si>
  <si>
    <t xml:space="preserve">The client gets "Received ₹X, balance ₹Y"</t>
  </si>
  <si>
    <t xml:space="preserve">n8n + Gmail</t>
  </si>
  <si>
    <t xml:space="preserve">Phase 2 – Features owners pay for</t>
  </si>
  <si>
    <t xml:space="preserve">Overdue reminders</t>
  </si>
  <si>
    <t xml:space="preserve">Automatic polite reminders at 3, 7 and 15 days overdue, with the amount and payment details</t>
  </si>
  <si>
    <t xml:space="preserve">Next</t>
  </si>
  <si>
    <t xml:space="preserve">Ageing report</t>
  </si>
  <si>
    <t xml:space="preserve">Outstanding grouped by how overdue it is: 0–30, 31–60, 61–90, 90+ days</t>
  </si>
  <si>
    <t xml:space="preserve">Monthly client statements</t>
  </si>
  <si>
    <t xml:space="preserve">One email or PDF per client listing all charges, payments and the balance</t>
  </si>
  <si>
    <t xml:space="preserve">Daily owner summary</t>
  </si>
  <si>
    <t xml:space="preserve">A morning email: "Yesterday: ₹X collected, N payments, M newly overdue"</t>
  </si>
  <si>
    <t xml:space="preserve">Phase 3 – Trust layer (GRC)</t>
  </si>
  <si>
    <t xml:space="preserve">Month-end lock</t>
  </si>
  <si>
    <t xml:space="preserve">Closed months are protected, so past figures can't be changed</t>
  </si>
  <si>
    <t xml:space="preserve">Later</t>
  </si>
  <si>
    <t xml:space="preserve">Change log</t>
  </si>
  <si>
    <t xml:space="preserve">Records anyone who edits the Charges or Subscriptions tabs: who, what, when</t>
  </si>
  <si>
    <t xml:space="preserve">Apps Script / n8n</t>
  </si>
  <si>
    <t xml:space="preserve">Access review</t>
  </si>
  <si>
    <t xml:space="preserve">A sheet listing who can see what, reviewed monthly</t>
  </si>
  <si>
    <t xml:space="preserve">Automatic backups</t>
  </si>
  <si>
    <t xml:space="preserve">A weekly copy saved to a separate Drive folder</t>
  </si>
  <si>
    <t xml:space="preserve">n8n + Google Drive</t>
  </si>
  <si>
    <t xml:space="preserve">Data-protection note</t>
  </si>
  <si>
    <t xml:space="preserve">What client data is stored and why, under India's DPDP Act</t>
  </si>
  <si>
    <t xml:space="preserve">Document</t>
  </si>
  <si>
    <t xml:space="preserve">Only if a client asks</t>
  </si>
  <si>
    <t xml:space="preserve">GST invoice numbering</t>
  </si>
  <si>
    <t xml:space="preserve">Invoice numbers and GST invoice format, built with a CA's input</t>
  </si>
  <si>
    <t xml:space="preserve">On request</t>
  </si>
  <si>
    <t xml:space="preserve">UPI payment links / QR codes</t>
  </si>
  <si>
    <t xml:space="preserve">Payment links or QR codes included in reminders</t>
  </si>
  <si>
    <t xml:space="preserve">Client self-service balance lookup</t>
  </si>
  <si>
    <t xml:space="preserve">Clients check their own balance; needs proper logins</t>
  </si>
  <si>
    <t xml:space="preserve">Web app</t>
  </si>
  <si>
    <t xml:space="preserve">Client Payment Tracker – Roadmap Summary</t>
  </si>
  <si>
    <t xml:space="preserve">Features</t>
  </si>
  <si>
    <t xml:space="preserve">In progress</t>
  </si>
  <si>
    <t xml:space="preserve">Total</t>
  </si>
  <si>
    <t xml:space="preserve">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</si>
</sst>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r="3" customFormat="false" ht="15" hidden="false" customHeight="false" outlineLevel="0" collapsed="false">
      <c r="A3" s="2" t="s">
        <v>6</v>
      </c>
      <c r="B3" s="2" t="s">
        <v>11</v>
      </c>
      <c r="C3" s="2" t="s">
        <v>12</v>
      </c>
      <c r="D3" s="2" t="s">
        <v>13</v>
      </c>
      <c r="E3" s="2" t="s">
        <v>10</v>
      </c>
      <c r="F3" s="2"/>
    </row>
    <row r="4" customFormat="false" ht="26.85" hidden="false" customHeight="false" outlineLevel="0" collapsed="false">
      <c r="A4" s="2" t="s">
        <v>6</v>
      </c>
      <c r="B4" s="2" t="s">
        <v>14</v>
      </c>
      <c r="C4" s="2" t="s">
        <v>15</v>
      </c>
      <c r="D4" s="2" t="s">
        <v>13</v>
      </c>
      <c r="E4" s="2" t="s">
        <v>10</v>
      </c>
      <c r="F4" s="2"/>
    </row>
    <row r="5" customFormat="false" ht="26.85" hidden="false" customHeight="false" outlineLevel="0" collapsed="false">
      <c r="A5" s="2" t="s">
        <v>6</v>
      </c>
      <c r="B5" s="2" t="s">
        <v>16</v>
      </c>
      <c r="C5" s="2" t="s">
        <v>17</v>
      </c>
      <c r="D5" s="2" t="s">
        <v>18</v>
      </c>
      <c r="E5" s="2" t="s">
        <v>10</v>
      </c>
      <c r="F5" s="2"/>
    </row>
    <row r="6" customFormat="false" ht="15" hidden="false" customHeight="false" outlineLevel="0" collapsed="false">
      <c r="A6" s="2" t="s">
        <v>6</v>
      </c>
      <c r="B6" s="2" t="s">
        <v>19</v>
      </c>
      <c r="C6" s="2" t="s">
        <v>20</v>
      </c>
      <c r="D6" s="2" t="s">
        <v>18</v>
      </c>
      <c r="E6" s="2" t="s">
        <v>10</v>
      </c>
      <c r="F6" s="2"/>
    </row>
    <row r="7" customFormat="false" ht="15" hidden="false" customHeight="false" outlineLevel="0" collapsed="false">
      <c r="A7" s="2" t="s">
        <v>6</v>
      </c>
      <c r="B7" s="2" t="s">
        <v>21</v>
      </c>
      <c r="C7" s="2" t="s">
        <v>22</v>
      </c>
      <c r="D7" s="2" t="s">
        <v>13</v>
      </c>
      <c r="E7" s="2" t="s">
        <v>10</v>
      </c>
      <c r="F7" s="2"/>
    </row>
    <row r="8" customFormat="false" ht="15" hidden="false" customHeight="false" outlineLevel="0" collapsed="false">
      <c r="A8" s="2" t="s">
        <v>6</v>
      </c>
      <c r="B8" s="2" t="s">
        <v>23</v>
      </c>
      <c r="C8" s="2" t="s">
        <v>24</v>
      </c>
      <c r="D8" s="2" t="s">
        <v>25</v>
      </c>
      <c r="E8" s="2" t="s">
        <v>10</v>
      </c>
      <c r="F8" s="2"/>
    </row>
    <row r="9" customFormat="false" ht="26.85" hidden="false" customHeight="false" outlineLevel="0" collapsed="false">
      <c r="A9" s="2" t="s">
        <v>26</v>
      </c>
      <c r="B9" s="2" t="s">
        <v>27</v>
      </c>
      <c r="C9" s="2" t="s">
        <v>28</v>
      </c>
      <c r="D9" s="2" t="s">
        <v>25</v>
      </c>
      <c r="E9" s="2" t="s">
        <v>29</v>
      </c>
      <c r="F9" s="2"/>
    </row>
    <row r="10" customFormat="false" ht="26.85" hidden="false" customHeight="false" outlineLevel="0" collapsed="false">
      <c r="A10" s="2" t="s">
        <v>26</v>
      </c>
      <c r="B10" s="2" t="s">
        <v>30</v>
      </c>
      <c r="C10" s="2" t="s">
        <v>31</v>
      </c>
      <c r="D10" s="2" t="s">
        <v>13</v>
      </c>
      <c r="E10" s="2" t="s">
        <v>29</v>
      </c>
      <c r="F10" s="2"/>
    </row>
    <row r="11" customFormat="false" ht="26.85" hidden="false" customHeight="false" outlineLevel="0" collapsed="false">
      <c r="A11" s="2" t="s">
        <v>26</v>
      </c>
      <c r="B11" s="2" t="s">
        <v>32</v>
      </c>
      <c r="C11" s="2" t="s">
        <v>33</v>
      </c>
      <c r="D11" s="2" t="s">
        <v>25</v>
      </c>
      <c r="E11" s="2" t="s">
        <v>29</v>
      </c>
      <c r="F11" s="2"/>
    </row>
    <row r="12" customFormat="false" ht="26.85" hidden="false" customHeight="false" outlineLevel="0" collapsed="false">
      <c r="A12" s="2" t="s">
        <v>26</v>
      </c>
      <c r="B12" s="2" t="s">
        <v>34</v>
      </c>
      <c r="C12" s="2" t="s">
        <v>35</v>
      </c>
      <c r="D12" s="2" t="s">
        <v>25</v>
      </c>
      <c r="E12" s="2" t="s">
        <v>29</v>
      </c>
      <c r="F12" s="2"/>
    </row>
    <row r="13" customFormat="false" ht="15" hidden="false" customHeight="false" outlineLevel="0" collapsed="false">
      <c r="A13" s="2" t="s">
        <v>36</v>
      </c>
      <c r="B13" s="2" t="s">
        <v>37</v>
      </c>
      <c r="C13" s="2" t="s">
        <v>38</v>
      </c>
      <c r="D13" s="2" t="s">
        <v>13</v>
      </c>
      <c r="E13" s="2" t="s">
        <v>39</v>
      </c>
      <c r="F13" s="2"/>
    </row>
    <row r="14" customFormat="false" ht="26.85" hidden="false" customHeight="false" outlineLevel="0" collapsed="false">
      <c r="A14" s="2" t="s">
        <v>36</v>
      </c>
      <c r="B14" s="2" t="s">
        <v>40</v>
      </c>
      <c r="C14" s="2" t="s">
        <v>41</v>
      </c>
      <c r="D14" s="2" t="s">
        <v>42</v>
      </c>
      <c r="E14" s="2" t="s">
        <v>39</v>
      </c>
      <c r="F14" s="2"/>
    </row>
    <row r="15" customFormat="false" ht="15" hidden="false" customHeight="false" outlineLevel="0" collapsed="false">
      <c r="A15" s="2" t="s">
        <v>36</v>
      </c>
      <c r="B15" s="2" t="s">
        <v>43</v>
      </c>
      <c r="C15" s="2" t="s">
        <v>44</v>
      </c>
      <c r="D15" s="2" t="s">
        <v>13</v>
      </c>
      <c r="E15" s="2" t="s">
        <v>39</v>
      </c>
      <c r="F15" s="2"/>
    </row>
    <row r="16" customFormat="false" ht="15" hidden="false" customHeight="false" outlineLevel="0" collapsed="false">
      <c r="A16" s="2" t="s">
        <v>36</v>
      </c>
      <c r="B16" s="2" t="s">
        <v>45</v>
      </c>
      <c r="C16" s="2" t="s">
        <v>46</v>
      </c>
      <c r="D16" s="2" t="s">
        <v>47</v>
      </c>
      <c r="E16" s="2" t="s">
        <v>39</v>
      </c>
      <c r="F16" s="2"/>
    </row>
    <row r="17" customFormat="false" ht="15" hidden="false" customHeight="false" outlineLevel="0" collapsed="false">
      <c r="A17" s="2" t="s">
        <v>36</v>
      </c>
      <c r="B17" s="2" t="s">
        <v>48</v>
      </c>
      <c r="C17" s="2" t="s">
        <v>49</v>
      </c>
      <c r="D17" s="2" t="s">
        <v>50</v>
      </c>
      <c r="E17" s="2" t="s">
        <v>39</v>
      </c>
      <c r="F17" s="2"/>
    </row>
    <row r="18" customFormat="false" ht="15" hidden="false" customHeight="false" outlineLevel="0" collapsed="false">
      <c r="A18" s="2" t="s">
        <v>51</v>
      </c>
      <c r="B18" s="2" t="s">
        <v>52</v>
      </c>
      <c r="C18" s="2" t="s">
        <v>53</v>
      </c>
      <c r="D18" s="2" t="s">
        <v>13</v>
      </c>
      <c r="E18" s="2" t="s">
        <v>54</v>
      </c>
      <c r="F18" s="2"/>
    </row>
    <row r="19" customFormat="false" ht="15" hidden="false" customHeight="false" outlineLevel="0" collapsed="false">
      <c r="A19" s="2" t="s">
        <v>51</v>
      </c>
      <c r="B19" s="2" t="s">
        <v>55</v>
      </c>
      <c r="C19" s="2" t="s">
        <v>56</v>
      </c>
      <c r="D19" s="2" t="s">
        <v>18</v>
      </c>
      <c r="E19" s="2" t="s">
        <v>54</v>
      </c>
      <c r="F19" s="2"/>
    </row>
    <row r="20" customFormat="false" ht="26.85" hidden="false" customHeight="false" outlineLevel="0" collapsed="false">
      <c r="A20" s="2" t="s">
        <v>51</v>
      </c>
      <c r="B20" s="2" t="s">
        <v>57</v>
      </c>
      <c r="C20" s="2" t="s">
        <v>58</v>
      </c>
      <c r="D20" s="2" t="s">
        <v>59</v>
      </c>
      <c r="E20" s="2" t="s">
        <v>54</v>
      </c>
      <c r="F20" s="2"/>
    </row>
  </sheetData>
  <autoFilter ref="A1:F20"/>
  <conditionalFormatting sqref="E2:E200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"Next"</formula>
    </cfRule>
    <cfRule type="cellIs" priority="4" operator="equal" aboveAverage="0" equalAverage="0" bottom="0" percent="0" rank="0" text="" dxfId="9">
      <formula>"In progress"</formula>
    </cfRule>
    <cfRule type="cellIs" priority="5" operator="equal" aboveAverage="0" equalAverage="0" bottom="0" percent="0" rank="0" text="" dxfId="10">
      <formula>"Later"</formula>
    </cfRule>
    <cfRule type="cellIs" priority="6" operator="equal" aboveAverage="0" equalAverage="0" bottom="0" percent="0" rank="0" text="" dxfId="11">
      <formula>"On request"</formula>
    </cfRule>
  </conditionalFormatting>
  <dataValidations count="1">
    <dataValidation allowBlank="false" errorStyle="stop" operator="between" showDropDown="false" showErrorMessage="false" showInputMessage="false" sqref="E2:E200" type="list">
      <formula1>"Done,Next,In progress,Later,On request"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3" t="s">
        <v>60</v>
      </c>
    </row>
    <row r="3" customFormat="false" ht="15" hidden="false" customHeight="false" outlineLevel="0" collapsed="false">
      <c r="A3" s="4" t="s">
        <v>4</v>
      </c>
      <c r="B3" s="4" t="s">
        <v>61</v>
      </c>
    </row>
    <row r="4" customFormat="false" ht="15" hidden="false" customHeight="false" outlineLevel="0" collapsed="false">
      <c r="A4" s="5" t="s">
        <v>10</v>
      </c>
      <c r="B4" s="5" t="n">
        <f aca="false">COUNTIF(Roadmap!E:E,"Done")</f>
        <v>7</v>
      </c>
    </row>
    <row r="5" customFormat="false" ht="15" hidden="false" customHeight="false" outlineLevel="0" collapsed="false">
      <c r="A5" s="5" t="s">
        <v>29</v>
      </c>
      <c r="B5" s="5" t="n">
        <f aca="false">COUNTIF(Roadmap!E:E,"Next")</f>
        <v>4</v>
      </c>
    </row>
    <row r="6" customFormat="false" ht="15" hidden="false" customHeight="false" outlineLevel="0" collapsed="false">
      <c r="A6" s="5" t="s">
        <v>62</v>
      </c>
      <c r="B6" s="5" t="n">
        <f aca="false">COUNTIF(Roadmap!E:E,"In progress")</f>
        <v>0</v>
      </c>
    </row>
    <row r="7" customFormat="false" ht="15" hidden="false" customHeight="false" outlineLevel="0" collapsed="false">
      <c r="A7" s="5" t="s">
        <v>39</v>
      </c>
      <c r="B7" s="5" t="n">
        <f aca="false">COUNTIF(Roadmap!E:E,"Later")</f>
        <v>5</v>
      </c>
    </row>
    <row r="8" customFormat="false" ht="15" hidden="false" customHeight="false" outlineLevel="0" collapsed="false">
      <c r="A8" s="5" t="s">
        <v>54</v>
      </c>
      <c r="B8" s="5" t="n">
        <f aca="false">COUNTIF(Roadmap!E:E,"On request")</f>
        <v>3</v>
      </c>
    </row>
    <row r="9" customFormat="false" ht="15" hidden="false" customHeight="false" outlineLevel="0" collapsed="false">
      <c r="A9" s="6" t="s">
        <v>63</v>
      </c>
      <c r="B9" s="6" t="n">
        <f aca="false">SUM(B4:B8)</f>
        <v>19</v>
      </c>
    </row>
    <row r="10" customFormat="false" ht="15" hidden="false" customHeight="false" outlineLevel="0" collapsed="false">
      <c r="A10" s="6" t="s">
        <v>64</v>
      </c>
      <c r="B10" s="7" t="n">
        <f aca="false">IFERROR(B4/B9,0)</f>
        <v>0.368421052631579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2026-10-02T17:14:41Z</dcterms:created>
  <dc:creator>openpyxl</dc:creator>
  <dc:description/>
  <dc:language>en-US</dc:language>
  <cp:lastModifiedBy/>
  <dcterms:modified xsi:type="dcterms:W3CDTF">2026-10-02T17:14:41Z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