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Charg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Payment_lin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yy"/>
    <numFmt numFmtId="166" formatCode="₹#,##0;(₹#,##0);&quot;-&quot;"/>
    <numFmt numFmtId="167" formatCode="yyyy-mm-dd h:mm:ss"/>
    <numFmt numFmtId="168" formatCode="dd-mmm-yyyy hh:mm"/>
    <numFmt numFmtId="169" formatCode="mmm-yyyy"/>
    <numFmt numFmtId="170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169" fontId="0" fillId="0" borderId="0" pivotButton="0" quotePrefix="0" xfId="0"/>
    <xf numFmtId="0" fontId="6" fillId="0" borderId="0" pivotButton="0" quotePrefix="0" xfId="0"/>
    <xf numFmtId="166" fontId="4" fillId="0" borderId="1" pivotButton="0" quotePrefix="0" xfId="0"/>
    <xf numFmtId="1" fontId="4" fillId="0" borderId="1" pivotButton="0" quotePrefix="0" xfId="0"/>
    <xf numFmtId="170" fontId="4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pivotButton="0" quotePrefix="0" xfId="0"/>
    <xf numFmtId="165" fontId="4" fillId="0" borderId="1" pivotButton="0" quotePrefix="0" xfId="0"/>
    <xf numFmtId="166" fontId="4" fillId="3" borderId="1" pivotButton="0" quotePrefix="0" xfId="0"/>
    <xf numFmtId="0" fontId="4" fillId="3" borderId="1" pivotButton="0" quotePrefix="0" xfId="0"/>
    <xf numFmtId="168" fontId="4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</cols>
  <sheetData>
    <row r="1">
      <c r="A1" s="1" t="inlineStr">
        <is>
          <t>Owner Dashboard</t>
        </is>
      </c>
    </row>
    <row r="2">
      <c r="A2" t="inlineStr">
        <is>
          <t>Month to report (first day of month):</t>
        </is>
      </c>
      <c r="C2" s="2" t="n">
        <v>46296</v>
      </c>
    </row>
    <row r="4">
      <c r="A4" s="3" t="inlineStr">
        <is>
          <t>Total billed</t>
        </is>
      </c>
      <c r="B4" s="4">
        <f>SUM(Charges!D:D)</f>
        <v/>
      </c>
    </row>
    <row r="5">
      <c r="A5" s="3" t="inlineStr">
        <is>
          <t>Total received</t>
        </is>
      </c>
      <c r="B5" s="4">
        <f>SUM(Payments!F:F)</f>
        <v/>
      </c>
    </row>
    <row r="6">
      <c r="A6" s="3" t="inlineStr">
        <is>
          <t>Total outstanding</t>
        </is>
      </c>
      <c r="B6" s="4">
        <f>B4-B5</f>
        <v/>
      </c>
    </row>
    <row r="8">
      <c r="A8" s="3" t="inlineStr">
        <is>
          <t>Billed this month</t>
        </is>
      </c>
      <c r="B8" s="4">
        <f>SUMIFS(Charges!D:D,Charges!E:E,"&gt;="&amp;C2,Charges!E:E,"&lt;"&amp;EDATE(C2,1))</f>
        <v/>
      </c>
    </row>
    <row r="9">
      <c r="A9" s="3" t="inlineStr">
        <is>
          <t>Collected this month</t>
        </is>
      </c>
      <c r="B9" s="4">
        <f>SUMIFS(Payments!F:F,Payments!D:D,"&gt;="&amp;C2,Payments!D:D,"&lt;"&amp;EDATE(C2,1))</f>
        <v/>
      </c>
    </row>
    <row r="11">
      <c r="A11" s="3" t="inlineStr">
        <is>
          <t>Collected — Cash</t>
        </is>
      </c>
      <c r="B11" s="4">
        <f>SUMIFS(Payments!F:F,Payments!E:E,"Cash")</f>
        <v/>
      </c>
    </row>
    <row r="12">
      <c r="A12" s="3" t="inlineStr">
        <is>
          <t>Collected — Bank</t>
        </is>
      </c>
      <c r="B12" s="4">
        <f>SUMIFS(Payments!F:F,Payments!E:E,"Bank")</f>
        <v/>
      </c>
    </row>
    <row r="13">
      <c r="A13" s="3" t="inlineStr">
        <is>
          <t>Collected — UPI</t>
        </is>
      </c>
      <c r="B13" s="4">
        <f>SUMIFS(Payments!F:F,Payments!E:E,"UPI")</f>
        <v/>
      </c>
    </row>
    <row r="15">
      <c r="A15" s="3" t="inlineStr">
        <is>
          <t>Clients with outstanding &gt; 0</t>
        </is>
      </c>
      <c r="B15" s="5">
        <f>COUNTIF(Clients!H:H,"&gt;0")</f>
        <v/>
      </c>
    </row>
    <row r="16">
      <c r="A16" s="3" t="inlineStr">
        <is>
          <t>Collection rate</t>
        </is>
      </c>
      <c r="B16" s="6">
        <f>IFERROR(B5/B4,0)</f>
        <v/>
      </c>
    </row>
    <row r="17">
      <c r="A17" s="3" t="inlineStr">
        <is>
          <t>Duplicate UTRs to review</t>
        </is>
      </c>
      <c r="B17" s="5">
        <f>COUNTIF(Payment_links!D:D,"DUPLICATE")</f>
        <v/>
      </c>
    </row>
    <row r="19">
      <c r="A19" s="3" t="inlineStr">
        <is>
          <t>Outstanding by client</t>
        </is>
      </c>
    </row>
    <row r="20">
      <c r="A20" s="7" t="inlineStr">
        <is>
          <t>Client</t>
        </is>
      </c>
      <c r="B20" s="7" t="inlineStr">
        <is>
          <t>Outstanding</t>
        </is>
      </c>
    </row>
    <row r="21">
      <c r="A21" s="8">
        <f>Clients!B2</f>
        <v/>
      </c>
      <c r="B21" s="9">
        <f>Clients!H2</f>
        <v/>
      </c>
    </row>
    <row r="22">
      <c r="A22" s="8">
        <f>Clients!B3</f>
        <v/>
      </c>
      <c r="B22" s="9">
        <f>Clients!H3</f>
        <v/>
      </c>
    </row>
    <row r="23">
      <c r="A23" s="8">
        <f>Clients!B4</f>
        <v/>
      </c>
      <c r="B23" s="9">
        <f>Clients!H4</f>
        <v/>
      </c>
    </row>
    <row r="24">
      <c r="A24" s="8">
        <f>Clients!B5</f>
        <v/>
      </c>
      <c r="B24" s="9">
        <f>Clients!H5</f>
        <v/>
      </c>
    </row>
    <row r="25">
      <c r="A25" s="8">
        <f>Clients!B6</f>
        <v/>
      </c>
      <c r="B25" s="9">
        <f>Clients!H6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3" customWidth="1" min="4" max="4"/>
    <col width="10" customWidth="1" min="5" max="5"/>
    <col width="12" customWidth="1" min="6" max="6"/>
    <col width="12" customWidth="1" min="7" max="7"/>
    <col width="13" customWidth="1" min="8" max="8"/>
    <col width="26" customWidth="1" min="9" max="9"/>
  </cols>
  <sheetData>
    <row r="1">
      <c r="A1" s="10" t="inlineStr">
        <is>
          <t>client_id</t>
        </is>
      </c>
      <c r="B1" s="10" t="inlineStr">
        <is>
          <t>name</t>
        </is>
      </c>
      <c r="C1" s="10" t="inlineStr">
        <is>
          <t>phone</t>
        </is>
      </c>
      <c r="D1" s="10" t="inlineStr">
        <is>
          <t>start_date</t>
        </is>
      </c>
      <c r="E1" s="10" t="inlineStr">
        <is>
          <t>status</t>
        </is>
      </c>
      <c r="F1" s="10" t="inlineStr">
        <is>
          <t>billed</t>
        </is>
      </c>
      <c r="G1" s="10" t="inlineStr">
        <is>
          <t>received</t>
        </is>
      </c>
      <c r="H1" s="10" t="inlineStr">
        <is>
          <t>outstanding</t>
        </is>
      </c>
      <c r="I1" s="10" t="inlineStr">
        <is>
          <t>email</t>
        </is>
      </c>
    </row>
    <row r="2">
      <c r="A2" s="11" t="inlineStr">
        <is>
          <t>C001</t>
        </is>
      </c>
      <c r="B2" s="11" t="inlineStr">
        <is>
          <t>Sharma &amp; Associates</t>
        </is>
      </c>
      <c r="C2" s="11" t="inlineStr">
        <is>
          <t>98xxxxxx01</t>
        </is>
      </c>
      <c r="D2" s="12" t="n">
        <v>46174</v>
      </c>
      <c r="E2" s="11" t="inlineStr">
        <is>
          <t>Active</t>
        </is>
      </c>
      <c r="F2" s="13">
        <f>SUMIFS(Charges!$D:$D,Charges!$C:$C,A2)</f>
        <v/>
      </c>
      <c r="G2" s="13">
        <f>SUMIFS(Payment_links!$C:$C,Payment_links!$B:$B,A2)</f>
        <v/>
      </c>
      <c r="H2" s="13">
        <f>F2-G2</f>
        <v/>
      </c>
      <c r="I2" s="11" t="inlineStr">
        <is>
          <t>sharma@example.com</t>
        </is>
      </c>
    </row>
    <row r="3">
      <c r="A3" s="11" t="inlineStr">
        <is>
          <t>C002</t>
        </is>
      </c>
      <c r="B3" s="11" t="inlineStr">
        <is>
          <t>Green Leaf Clinic</t>
        </is>
      </c>
      <c r="C3" s="11" t="inlineStr">
        <is>
          <t>98xxxxxx02</t>
        </is>
      </c>
      <c r="D3" s="12" t="n">
        <v>46188</v>
      </c>
      <c r="E3" s="11" t="inlineStr">
        <is>
          <t>Active</t>
        </is>
      </c>
      <c r="F3" s="13">
        <f>SUMIFS(Charges!$D:$D,Charges!$C:$C,A3)</f>
        <v/>
      </c>
      <c r="G3" s="13">
        <f>SUMIFS(Payment_links!$C:$C,Payment_links!$B:$B,A3)</f>
        <v/>
      </c>
      <c r="H3" s="13">
        <f>F3-G3</f>
        <v/>
      </c>
      <c r="I3" s="11" t="inlineStr">
        <is>
          <t>greenleaf@example.com</t>
        </is>
      </c>
    </row>
    <row r="4">
      <c r="A4" s="11" t="inlineStr">
        <is>
          <t>C003</t>
        </is>
      </c>
      <c r="B4" s="11" t="inlineStr">
        <is>
          <t>Patel Traders</t>
        </is>
      </c>
      <c r="C4" s="11" t="inlineStr">
        <is>
          <t>98xxxxxx03</t>
        </is>
      </c>
      <c r="D4" s="12" t="n">
        <v>46204</v>
      </c>
      <c r="E4" s="11" t="inlineStr">
        <is>
          <t>Active</t>
        </is>
      </c>
      <c r="F4" s="13">
        <f>SUMIFS(Charges!$D:$D,Charges!$C:$C,A4)</f>
        <v/>
      </c>
      <c r="G4" s="13">
        <f>SUMIFS(Payment_links!$C:$C,Payment_links!$B:$B,A4)</f>
        <v/>
      </c>
      <c r="H4" s="13">
        <f>F4-G4</f>
        <v/>
      </c>
      <c r="I4" s="11" t="inlineStr">
        <is>
          <t>patel@example.com</t>
        </is>
      </c>
    </row>
    <row r="5">
      <c r="A5" s="11" t="inlineStr">
        <is>
          <t>C004</t>
        </is>
      </c>
      <c r="B5" s="11" t="inlineStr">
        <is>
          <t>Nair Consulting</t>
        </is>
      </c>
      <c r="C5" s="11" t="inlineStr">
        <is>
          <t>98xxxxxx04</t>
        </is>
      </c>
      <c r="D5" s="12" t="n">
        <v>46213</v>
      </c>
      <c r="E5" s="11" t="inlineStr">
        <is>
          <t>Active</t>
        </is>
      </c>
      <c r="F5" s="13">
        <f>SUMIFS(Charges!$D:$D,Charges!$C:$C,A5)</f>
        <v/>
      </c>
      <c r="G5" s="13">
        <f>SUMIFS(Payment_links!$C:$C,Payment_links!$B:$B,A5)</f>
        <v/>
      </c>
      <c r="H5" s="13">
        <f>F5-G5</f>
        <v/>
      </c>
      <c r="I5" s="11" t="inlineStr">
        <is>
          <t>nair@example.com</t>
        </is>
      </c>
    </row>
    <row r="6">
      <c r="A6" s="11" t="inlineStr">
        <is>
          <t>C005</t>
        </is>
      </c>
      <c r="B6" s="11" t="inlineStr">
        <is>
          <t>Das Builders</t>
        </is>
      </c>
      <c r="C6" s="11" t="inlineStr">
        <is>
          <t>98xxxxxx05</t>
        </is>
      </c>
      <c r="D6" s="12" t="n">
        <v>46235</v>
      </c>
      <c r="E6" s="11" t="inlineStr">
        <is>
          <t>Inactive</t>
        </is>
      </c>
      <c r="F6" s="13">
        <f>SUMIFS(Charges!$D:$D,Charges!$C:$C,A6)</f>
        <v/>
      </c>
      <c r="G6" s="13">
        <f>SUMIFS(Payment_links!$C:$C,Payment_links!$B:$B,A6)</f>
        <v/>
      </c>
      <c r="H6" s="13">
        <f>F6-G6</f>
        <v/>
      </c>
      <c r="I6" s="11" t="inlineStr">
        <is>
          <t>das@example.com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</cols>
  <sheetData>
    <row r="1">
      <c r="A1" s="10" t="inlineStr">
        <is>
          <t>service_id</t>
        </is>
      </c>
      <c r="B1" s="10" t="inlineStr">
        <is>
          <t>service_name</t>
        </is>
      </c>
      <c r="C1" s="10" t="inlineStr">
        <is>
          <t>billing_cycle</t>
        </is>
      </c>
    </row>
    <row r="2">
      <c r="A2" s="11" t="inlineStr">
        <is>
          <t>S01</t>
        </is>
      </c>
      <c r="B2" s="11" t="inlineStr">
        <is>
          <t>GST return filing</t>
        </is>
      </c>
      <c r="C2" s="11" t="inlineStr">
        <is>
          <t>Monthly</t>
        </is>
      </c>
    </row>
    <row r="3">
      <c r="A3" s="11" t="inlineStr">
        <is>
          <t>S02</t>
        </is>
      </c>
      <c r="B3" s="11" t="inlineStr">
        <is>
          <t>Bookkeeping</t>
        </is>
      </c>
      <c r="C3" s="11" t="inlineStr">
        <is>
          <t>Monthly</t>
        </is>
      </c>
    </row>
    <row r="4">
      <c r="A4" s="11" t="inlineStr">
        <is>
          <t>S03</t>
        </is>
      </c>
      <c r="B4" s="11" t="inlineStr">
        <is>
          <t>Annual audit</t>
        </is>
      </c>
      <c r="C4" s="11" t="inlineStr">
        <is>
          <t>Yearly</t>
        </is>
      </c>
    </row>
    <row r="5">
      <c r="A5" s="11" t="inlineStr">
        <is>
          <t>S04</t>
        </is>
      </c>
      <c r="B5" s="11" t="inlineStr">
        <is>
          <t>Company registration</t>
        </is>
      </c>
      <c r="C5" s="11" t="inlineStr">
        <is>
          <t>One-time</t>
        </is>
      </c>
    </row>
  </sheetData>
  <dataValidations count="1">
    <dataValidation sqref="C2:C500" showDropDown="0" showInputMessage="0" showErrorMessage="0" allowBlank="0" type="list">
      <formula1>"Monthly,Yearly,One-time"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12" customWidth="1" min="5" max="5"/>
    <col width="13" customWidth="1" min="6" max="6"/>
    <col width="7" customWidth="1" min="7" max="7"/>
    <col width="22" customWidth="1" min="8" max="8"/>
    <col width="20" customWidth="1" min="9" max="9"/>
    <col width="12" customWidth="1" min="10" max="10"/>
    <col width="11" customWidth="1" min="11" max="11"/>
    <col width="11" customWidth="1" min="12" max="12"/>
    <col width="12" customWidth="1" min="13" max="13"/>
    <col width="48" customWidth="1" min="14" max="14"/>
  </cols>
  <sheetData>
    <row r="1">
      <c r="A1" s="10" t="inlineStr">
        <is>
          <t>sub_id</t>
        </is>
      </c>
      <c r="B1" s="10" t="inlineStr">
        <is>
          <t>client_id</t>
        </is>
      </c>
      <c r="C1" s="10" t="inlineStr">
        <is>
          <t>service_id</t>
        </is>
      </c>
      <c r="D1" s="10" t="inlineStr">
        <is>
          <t>fee</t>
        </is>
      </c>
      <c r="E1" s="10" t="inlineStr">
        <is>
          <t>start_date</t>
        </is>
      </c>
      <c r="F1" s="10" t="inlineStr">
        <is>
          <t>next_due_date</t>
        </is>
      </c>
      <c r="G1" s="10" t="inlineStr">
        <is>
          <t>active</t>
        </is>
      </c>
      <c r="H1" s="10" t="inlineStr">
        <is>
          <t>client_name</t>
        </is>
      </c>
      <c r="I1" s="10" t="inlineStr">
        <is>
          <t>service_name</t>
        </is>
      </c>
      <c r="J1" s="10" t="inlineStr">
        <is>
          <t>billing_cycle</t>
        </is>
      </c>
      <c r="K1" s="10" t="inlineStr">
        <is>
          <t>billed</t>
        </is>
      </c>
      <c r="L1" s="10" t="inlineStr">
        <is>
          <t>received</t>
        </is>
      </c>
      <c r="M1" s="10" t="inlineStr">
        <is>
          <t>outstanding</t>
        </is>
      </c>
      <c r="N1" s="10" t="inlineStr">
        <is>
          <t>form_label</t>
        </is>
      </c>
    </row>
    <row r="2">
      <c r="A2" s="11" t="inlineStr">
        <is>
          <t>SUB001</t>
        </is>
      </c>
      <c r="B2" s="11" t="inlineStr">
        <is>
          <t>C001</t>
        </is>
      </c>
      <c r="C2" s="11" t="inlineStr">
        <is>
          <t>S01</t>
        </is>
      </c>
      <c r="D2" s="4" t="n">
        <v>2000</v>
      </c>
      <c r="E2" s="12" t="n">
        <v>46204</v>
      </c>
      <c r="F2" s="12" t="n">
        <v>46327</v>
      </c>
      <c r="G2" s="11" t="inlineStr">
        <is>
          <t>Y</t>
        </is>
      </c>
      <c r="H2" s="14">
        <f>IFERROR(INDEX(Clients!$B:$B,MATCH(B2,Clients!$A:$A,0)),"")</f>
        <v/>
      </c>
      <c r="I2" s="14">
        <f>IFERROR(INDEX(Services!$B:$B,MATCH(C2,Services!$A:$A,0)),"")</f>
        <v/>
      </c>
      <c r="J2" s="14">
        <f>IFERROR(INDEX(Services!$C:$C,MATCH(C2,Services!$A:$A,0)),"")</f>
        <v/>
      </c>
      <c r="K2" s="13">
        <f>SUMIFS(Charges!$D:$D,Charges!$B:$B,A2)</f>
        <v/>
      </c>
      <c r="L2" s="13">
        <f>SUMIFS(Payment_links!$C:$C,Payment_links!$A:$A,A2)</f>
        <v/>
      </c>
      <c r="M2" s="13">
        <f>K2-L2</f>
        <v/>
      </c>
      <c r="N2" s="14">
        <f>A2&amp;" | "&amp;H2&amp;" | "&amp;I2</f>
        <v/>
      </c>
    </row>
    <row r="3">
      <c r="A3" s="11" t="inlineStr">
        <is>
          <t>SUB002</t>
        </is>
      </c>
      <c r="B3" s="11" t="inlineStr">
        <is>
          <t>C001</t>
        </is>
      </c>
      <c r="C3" s="11" t="inlineStr">
        <is>
          <t>S02</t>
        </is>
      </c>
      <c r="D3" s="4" t="n">
        <v>5000</v>
      </c>
      <c r="E3" s="12" t="n">
        <v>46204</v>
      </c>
      <c r="F3" s="12" t="n">
        <v>46327</v>
      </c>
      <c r="G3" s="11" t="inlineStr">
        <is>
          <t>Y</t>
        </is>
      </c>
      <c r="H3" s="14">
        <f>IFERROR(INDEX(Clients!$B:$B,MATCH(B3,Clients!$A:$A,0)),"")</f>
        <v/>
      </c>
      <c r="I3" s="14">
        <f>IFERROR(INDEX(Services!$B:$B,MATCH(C3,Services!$A:$A,0)),"")</f>
        <v/>
      </c>
      <c r="J3" s="14">
        <f>IFERROR(INDEX(Services!$C:$C,MATCH(C3,Services!$A:$A,0)),"")</f>
        <v/>
      </c>
      <c r="K3" s="13">
        <f>SUMIFS(Charges!$D:$D,Charges!$B:$B,A3)</f>
        <v/>
      </c>
      <c r="L3" s="13">
        <f>SUMIFS(Payment_links!$C:$C,Payment_links!$A:$A,A3)</f>
        <v/>
      </c>
      <c r="M3" s="13">
        <f>K3-L3</f>
        <v/>
      </c>
      <c r="N3" s="14">
        <f>A3&amp;" | "&amp;H3&amp;" | "&amp;I3</f>
        <v/>
      </c>
    </row>
    <row r="4">
      <c r="A4" s="11" t="inlineStr">
        <is>
          <t>SUB003</t>
        </is>
      </c>
      <c r="B4" s="11" t="inlineStr">
        <is>
          <t>C002</t>
        </is>
      </c>
      <c r="C4" s="11" t="inlineStr">
        <is>
          <t>S01</t>
        </is>
      </c>
      <c r="D4" s="4" t="n">
        <v>2000</v>
      </c>
      <c r="E4" s="12" t="n">
        <v>46204</v>
      </c>
      <c r="F4" s="12" t="n">
        <v>46327</v>
      </c>
      <c r="G4" s="11" t="inlineStr">
        <is>
          <t>Y</t>
        </is>
      </c>
      <c r="H4" s="14">
        <f>IFERROR(INDEX(Clients!$B:$B,MATCH(B4,Clients!$A:$A,0)),"")</f>
        <v/>
      </c>
      <c r="I4" s="14">
        <f>IFERROR(INDEX(Services!$B:$B,MATCH(C4,Services!$A:$A,0)),"")</f>
        <v/>
      </c>
      <c r="J4" s="14">
        <f>IFERROR(INDEX(Services!$C:$C,MATCH(C4,Services!$A:$A,0)),"")</f>
        <v/>
      </c>
      <c r="K4" s="13">
        <f>SUMIFS(Charges!$D:$D,Charges!$B:$B,A4)</f>
        <v/>
      </c>
      <c r="L4" s="13">
        <f>SUMIFS(Payment_links!$C:$C,Payment_links!$A:$A,A4)</f>
        <v/>
      </c>
      <c r="M4" s="13">
        <f>K4-L4</f>
        <v/>
      </c>
      <c r="N4" s="14">
        <f>A4&amp;" | "&amp;H4&amp;" | "&amp;I4</f>
        <v/>
      </c>
    </row>
    <row r="5">
      <c r="A5" s="11" t="inlineStr">
        <is>
          <t>SUB004</t>
        </is>
      </c>
      <c r="B5" s="11" t="inlineStr">
        <is>
          <t>C003</t>
        </is>
      </c>
      <c r="C5" s="11" t="inlineStr">
        <is>
          <t>S03</t>
        </is>
      </c>
      <c r="D5" s="4" t="n">
        <v>25000</v>
      </c>
      <c r="E5" s="12" t="n">
        <v>46204</v>
      </c>
      <c r="F5" s="12" t="n">
        <v>46569</v>
      </c>
      <c r="G5" s="11" t="inlineStr">
        <is>
          <t>Y</t>
        </is>
      </c>
      <c r="H5" s="14">
        <f>IFERROR(INDEX(Clients!$B:$B,MATCH(B5,Clients!$A:$A,0)),"")</f>
        <v/>
      </c>
      <c r="I5" s="14">
        <f>IFERROR(INDEX(Services!$B:$B,MATCH(C5,Services!$A:$A,0)),"")</f>
        <v/>
      </c>
      <c r="J5" s="14">
        <f>IFERROR(INDEX(Services!$C:$C,MATCH(C5,Services!$A:$A,0)),"")</f>
        <v/>
      </c>
      <c r="K5" s="13">
        <f>SUMIFS(Charges!$D:$D,Charges!$B:$B,A5)</f>
        <v/>
      </c>
      <c r="L5" s="13">
        <f>SUMIFS(Payment_links!$C:$C,Payment_links!$A:$A,A5)</f>
        <v/>
      </c>
      <c r="M5" s="13">
        <f>K5-L5</f>
        <v/>
      </c>
      <c r="N5" s="14">
        <f>A5&amp;" | "&amp;H5&amp;" | "&amp;I5</f>
        <v/>
      </c>
    </row>
    <row r="6">
      <c r="A6" s="11" t="inlineStr">
        <is>
          <t>SUB005</t>
        </is>
      </c>
      <c r="B6" s="11" t="inlineStr">
        <is>
          <t>C004</t>
        </is>
      </c>
      <c r="C6" s="11" t="inlineStr">
        <is>
          <t>S02</t>
        </is>
      </c>
      <c r="D6" s="4" t="n">
        <v>4000</v>
      </c>
      <c r="E6" s="12" t="n">
        <v>46235</v>
      </c>
      <c r="F6" s="12" t="n">
        <v>46327</v>
      </c>
      <c r="G6" s="11" t="inlineStr">
        <is>
          <t>Y</t>
        </is>
      </c>
      <c r="H6" s="14">
        <f>IFERROR(INDEX(Clients!$B:$B,MATCH(B6,Clients!$A:$A,0)),"")</f>
        <v/>
      </c>
      <c r="I6" s="14">
        <f>IFERROR(INDEX(Services!$B:$B,MATCH(C6,Services!$A:$A,0)),"")</f>
        <v/>
      </c>
      <c r="J6" s="14">
        <f>IFERROR(INDEX(Services!$C:$C,MATCH(C6,Services!$A:$A,0)),"")</f>
        <v/>
      </c>
      <c r="K6" s="13">
        <f>SUMIFS(Charges!$D:$D,Charges!$B:$B,A6)</f>
        <v/>
      </c>
      <c r="L6" s="13">
        <f>SUMIFS(Payment_links!$C:$C,Payment_links!$A:$A,A6)</f>
        <v/>
      </c>
      <c r="M6" s="13">
        <f>K6-L6</f>
        <v/>
      </c>
      <c r="N6" s="14">
        <f>A6&amp;" | "&amp;H6&amp;" | "&amp;I6</f>
        <v/>
      </c>
    </row>
    <row r="7">
      <c r="A7" s="11" t="inlineStr">
        <is>
          <t>SUB006</t>
        </is>
      </c>
      <c r="B7" s="11" t="inlineStr">
        <is>
          <t>C004</t>
        </is>
      </c>
      <c r="C7" s="11" t="inlineStr">
        <is>
          <t>S04</t>
        </is>
      </c>
      <c r="D7" s="4" t="n">
        <v>8000</v>
      </c>
      <c r="E7" s="12" t="n">
        <v>46239</v>
      </c>
      <c r="F7" s="12" t="n"/>
      <c r="G7" s="11" t="inlineStr">
        <is>
          <t>N</t>
        </is>
      </c>
      <c r="H7" s="14">
        <f>IFERROR(INDEX(Clients!$B:$B,MATCH(B7,Clients!$A:$A,0)),"")</f>
        <v/>
      </c>
      <c r="I7" s="14">
        <f>IFERROR(INDEX(Services!$B:$B,MATCH(C7,Services!$A:$A,0)),"")</f>
        <v/>
      </c>
      <c r="J7" s="14">
        <f>IFERROR(INDEX(Services!$C:$C,MATCH(C7,Services!$A:$A,0)),"")</f>
        <v/>
      </c>
      <c r="K7" s="13">
        <f>SUMIFS(Charges!$D:$D,Charges!$B:$B,A7)</f>
        <v/>
      </c>
      <c r="L7" s="13">
        <f>SUMIFS(Payment_links!$C:$C,Payment_links!$A:$A,A7)</f>
        <v/>
      </c>
      <c r="M7" s="13">
        <f>K7-L7</f>
        <v/>
      </c>
      <c r="N7" s="14">
        <f>A7&amp;" | "&amp;H7&amp;" | "&amp;I7</f>
        <v/>
      </c>
    </row>
    <row r="8">
      <c r="A8" s="11" t="inlineStr">
        <is>
          <t>SUB007</t>
        </is>
      </c>
      <c r="B8" s="11" t="inlineStr">
        <is>
          <t>C005</t>
        </is>
      </c>
      <c r="C8" s="11" t="inlineStr">
        <is>
          <t>S01</t>
        </is>
      </c>
      <c r="D8" s="4" t="n">
        <v>1500</v>
      </c>
      <c r="E8" s="12" t="n">
        <v>46235</v>
      </c>
      <c r="F8" s="12" t="n"/>
      <c r="G8" s="11" t="inlineStr">
        <is>
          <t>N</t>
        </is>
      </c>
      <c r="H8" s="14">
        <f>IFERROR(INDEX(Clients!$B:$B,MATCH(B8,Clients!$A:$A,0)),"")</f>
        <v/>
      </c>
      <c r="I8" s="14">
        <f>IFERROR(INDEX(Services!$B:$B,MATCH(C8,Services!$A:$A,0)),"")</f>
        <v/>
      </c>
      <c r="J8" s="14">
        <f>IFERROR(INDEX(Services!$C:$C,MATCH(C8,Services!$A:$A,0)),"")</f>
        <v/>
      </c>
      <c r="K8" s="13">
        <f>SUMIFS(Charges!$D:$D,Charges!$B:$B,A8)</f>
        <v/>
      </c>
      <c r="L8" s="13">
        <f>SUMIFS(Payment_links!$C:$C,Payment_links!$A:$A,A8)</f>
        <v/>
      </c>
      <c r="M8" s="13">
        <f>K8-L8</f>
        <v/>
      </c>
      <c r="N8" s="14">
        <f>A8&amp;" | "&amp;H8&amp;" | "&amp;I8</f>
        <v/>
      </c>
    </row>
  </sheetData>
  <dataValidations count="1">
    <dataValidation sqref="G2:G5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3" customWidth="1" min="5" max="5"/>
    <col width="12" customWidth="1" min="6" max="6"/>
    <col width="11" customWidth="1" min="7" max="7"/>
  </cols>
  <sheetData>
    <row r="1">
      <c r="A1" s="10" t="inlineStr">
        <is>
          <t>charge_id</t>
        </is>
      </c>
      <c r="B1" s="10" t="inlineStr">
        <is>
          <t>sub_id</t>
        </is>
      </c>
      <c r="C1" s="10" t="inlineStr">
        <is>
          <t>client_id</t>
        </is>
      </c>
      <c r="D1" s="10" t="inlineStr">
        <is>
          <t>amount</t>
        </is>
      </c>
      <c r="E1" s="10" t="inlineStr">
        <is>
          <t>charge_date</t>
        </is>
      </c>
      <c r="F1" s="10" t="inlineStr">
        <is>
          <t>period</t>
        </is>
      </c>
      <c r="G1" s="10" t="inlineStr">
        <is>
          <t>created_by</t>
        </is>
      </c>
    </row>
    <row r="2">
      <c r="A2" s="11" t="inlineStr">
        <is>
          <t>CH0001</t>
        </is>
      </c>
      <c r="B2" s="11" t="inlineStr">
        <is>
          <t>SUB001</t>
        </is>
      </c>
      <c r="C2" s="11" t="inlineStr">
        <is>
          <t>C001</t>
        </is>
      </c>
      <c r="D2" s="4" t="n">
        <v>2000</v>
      </c>
      <c r="E2" s="12" t="n">
        <v>46204</v>
      </c>
      <c r="F2" s="11" t="inlineStr">
        <is>
          <t>Jul 2026</t>
        </is>
      </c>
      <c r="G2" s="11" t="inlineStr">
        <is>
          <t>auto</t>
        </is>
      </c>
    </row>
    <row r="3">
      <c r="A3" s="11" t="inlineStr">
        <is>
          <t>CH0002</t>
        </is>
      </c>
      <c r="B3" s="11" t="inlineStr">
        <is>
          <t>SUB002</t>
        </is>
      </c>
      <c r="C3" s="11" t="inlineStr">
        <is>
          <t>C001</t>
        </is>
      </c>
      <c r="D3" s="4" t="n">
        <v>5000</v>
      </c>
      <c r="E3" s="12" t="n">
        <v>46204</v>
      </c>
      <c r="F3" s="11" t="inlineStr">
        <is>
          <t>Jul 2026</t>
        </is>
      </c>
      <c r="G3" s="11" t="inlineStr">
        <is>
          <t>auto</t>
        </is>
      </c>
    </row>
    <row r="4">
      <c r="A4" s="11" t="inlineStr">
        <is>
          <t>CH0003</t>
        </is>
      </c>
      <c r="B4" s="11" t="inlineStr">
        <is>
          <t>SUB003</t>
        </is>
      </c>
      <c r="C4" s="11" t="inlineStr">
        <is>
          <t>C002</t>
        </is>
      </c>
      <c r="D4" s="4" t="n">
        <v>2000</v>
      </c>
      <c r="E4" s="12" t="n">
        <v>46204</v>
      </c>
      <c r="F4" s="11" t="inlineStr">
        <is>
          <t>Jul 2026</t>
        </is>
      </c>
      <c r="G4" s="11" t="inlineStr">
        <is>
          <t>auto</t>
        </is>
      </c>
    </row>
    <row r="5">
      <c r="A5" s="11" t="inlineStr">
        <is>
          <t>CH0004</t>
        </is>
      </c>
      <c r="B5" s="11" t="inlineStr">
        <is>
          <t>SUB001</t>
        </is>
      </c>
      <c r="C5" s="11" t="inlineStr">
        <is>
          <t>C001</t>
        </is>
      </c>
      <c r="D5" s="4" t="n">
        <v>2000</v>
      </c>
      <c r="E5" s="12" t="n">
        <v>46235</v>
      </c>
      <c r="F5" s="11" t="inlineStr">
        <is>
          <t>Aug 2026</t>
        </is>
      </c>
      <c r="G5" s="11" t="inlineStr">
        <is>
          <t>auto</t>
        </is>
      </c>
    </row>
    <row r="6">
      <c r="A6" s="11" t="inlineStr">
        <is>
          <t>CH0005</t>
        </is>
      </c>
      <c r="B6" s="11" t="inlineStr">
        <is>
          <t>SUB002</t>
        </is>
      </c>
      <c r="C6" s="11" t="inlineStr">
        <is>
          <t>C001</t>
        </is>
      </c>
      <c r="D6" s="4" t="n">
        <v>5000</v>
      </c>
      <c r="E6" s="12" t="n">
        <v>46235</v>
      </c>
      <c r="F6" s="11" t="inlineStr">
        <is>
          <t>Aug 2026</t>
        </is>
      </c>
      <c r="G6" s="11" t="inlineStr">
        <is>
          <t>auto</t>
        </is>
      </c>
    </row>
    <row r="7">
      <c r="A7" s="11" t="inlineStr">
        <is>
          <t>CH0006</t>
        </is>
      </c>
      <c r="B7" s="11" t="inlineStr">
        <is>
          <t>SUB003</t>
        </is>
      </c>
      <c r="C7" s="11" t="inlineStr">
        <is>
          <t>C002</t>
        </is>
      </c>
      <c r="D7" s="4" t="n">
        <v>2000</v>
      </c>
      <c r="E7" s="12" t="n">
        <v>46235</v>
      </c>
      <c r="F7" s="11" t="inlineStr">
        <is>
          <t>Aug 2026</t>
        </is>
      </c>
      <c r="G7" s="11" t="inlineStr">
        <is>
          <t>auto</t>
        </is>
      </c>
    </row>
    <row r="8">
      <c r="A8" s="11" t="inlineStr">
        <is>
          <t>CH0007</t>
        </is>
      </c>
      <c r="B8" s="11" t="inlineStr">
        <is>
          <t>SUB005</t>
        </is>
      </c>
      <c r="C8" s="11" t="inlineStr">
        <is>
          <t>C004</t>
        </is>
      </c>
      <c r="D8" s="4" t="n">
        <v>4000</v>
      </c>
      <c r="E8" s="12" t="n">
        <v>46235</v>
      </c>
      <c r="F8" s="11" t="inlineStr">
        <is>
          <t>Aug 2026</t>
        </is>
      </c>
      <c r="G8" s="11" t="inlineStr">
        <is>
          <t>auto</t>
        </is>
      </c>
    </row>
    <row r="9">
      <c r="A9" s="11" t="inlineStr">
        <is>
          <t>CH0008</t>
        </is>
      </c>
      <c r="B9" s="11" t="inlineStr">
        <is>
          <t>SUB007</t>
        </is>
      </c>
      <c r="C9" s="11" t="inlineStr">
        <is>
          <t>C005</t>
        </is>
      </c>
      <c r="D9" s="4" t="n">
        <v>1500</v>
      </c>
      <c r="E9" s="12" t="n">
        <v>46235</v>
      </c>
      <c r="F9" s="11" t="inlineStr">
        <is>
          <t>Aug 2026</t>
        </is>
      </c>
      <c r="G9" s="11" t="inlineStr">
        <is>
          <t>auto</t>
        </is>
      </c>
    </row>
    <row r="10">
      <c r="A10" s="11" t="inlineStr">
        <is>
          <t>CH0009</t>
        </is>
      </c>
      <c r="B10" s="11" t="inlineStr">
        <is>
          <t>SUB001</t>
        </is>
      </c>
      <c r="C10" s="11" t="inlineStr">
        <is>
          <t>C001</t>
        </is>
      </c>
      <c r="D10" s="4" t="n">
        <v>2000</v>
      </c>
      <c r="E10" s="12" t="n">
        <v>46266</v>
      </c>
      <c r="F10" s="11" t="inlineStr">
        <is>
          <t>Sep 2026</t>
        </is>
      </c>
      <c r="G10" s="11" t="inlineStr">
        <is>
          <t>auto</t>
        </is>
      </c>
    </row>
    <row r="11">
      <c r="A11" s="11" t="inlineStr">
        <is>
          <t>CH0010</t>
        </is>
      </c>
      <c r="B11" s="11" t="inlineStr">
        <is>
          <t>SUB002</t>
        </is>
      </c>
      <c r="C11" s="11" t="inlineStr">
        <is>
          <t>C001</t>
        </is>
      </c>
      <c r="D11" s="4" t="n">
        <v>5000</v>
      </c>
      <c r="E11" s="12" t="n">
        <v>46266</v>
      </c>
      <c r="F11" s="11" t="inlineStr">
        <is>
          <t>Sep 2026</t>
        </is>
      </c>
      <c r="G11" s="11" t="inlineStr">
        <is>
          <t>auto</t>
        </is>
      </c>
    </row>
    <row r="12">
      <c r="A12" s="11" t="inlineStr">
        <is>
          <t>CH0011</t>
        </is>
      </c>
      <c r="B12" s="11" t="inlineStr">
        <is>
          <t>SUB003</t>
        </is>
      </c>
      <c r="C12" s="11" t="inlineStr">
        <is>
          <t>C002</t>
        </is>
      </c>
      <c r="D12" s="4" t="n">
        <v>2000</v>
      </c>
      <c r="E12" s="12" t="n">
        <v>46266</v>
      </c>
      <c r="F12" s="11" t="inlineStr">
        <is>
          <t>Sep 2026</t>
        </is>
      </c>
      <c r="G12" s="11" t="inlineStr">
        <is>
          <t>auto</t>
        </is>
      </c>
    </row>
    <row r="13">
      <c r="A13" s="11" t="inlineStr">
        <is>
          <t>CH0012</t>
        </is>
      </c>
      <c r="B13" s="11" t="inlineStr">
        <is>
          <t>SUB005</t>
        </is>
      </c>
      <c r="C13" s="11" t="inlineStr">
        <is>
          <t>C004</t>
        </is>
      </c>
      <c r="D13" s="4" t="n">
        <v>4000</v>
      </c>
      <c r="E13" s="12" t="n">
        <v>46266</v>
      </c>
      <c r="F13" s="11" t="inlineStr">
        <is>
          <t>Sep 2026</t>
        </is>
      </c>
      <c r="G13" s="11" t="inlineStr">
        <is>
          <t>auto</t>
        </is>
      </c>
    </row>
    <row r="14">
      <c r="A14" s="11" t="inlineStr">
        <is>
          <t>CH-SUB001-20261001</t>
        </is>
      </c>
      <c r="B14" s="11" t="inlineStr">
        <is>
          <t>SUB001</t>
        </is>
      </c>
      <c r="C14" s="11" t="inlineStr">
        <is>
          <t>C001</t>
        </is>
      </c>
      <c r="D14" s="4" t="n">
        <v>2000</v>
      </c>
      <c r="E14" s="12" t="n">
        <v>46296</v>
      </c>
      <c r="F14" s="11" t="inlineStr">
        <is>
          <t>Oct 2026</t>
        </is>
      </c>
      <c r="G14" s="11" t="inlineStr">
        <is>
          <t>n8n</t>
        </is>
      </c>
    </row>
    <row r="15">
      <c r="A15" s="11" t="inlineStr">
        <is>
          <t>CH-SUB002-20261001</t>
        </is>
      </c>
      <c r="B15" s="11" t="inlineStr">
        <is>
          <t>SUB002</t>
        </is>
      </c>
      <c r="C15" s="11" t="inlineStr">
        <is>
          <t>C001</t>
        </is>
      </c>
      <c r="D15" s="4" t="n">
        <v>5000</v>
      </c>
      <c r="E15" s="12" t="n">
        <v>46296</v>
      </c>
      <c r="F15" s="11" t="inlineStr">
        <is>
          <t>Oct 2026</t>
        </is>
      </c>
      <c r="G15" s="11" t="inlineStr">
        <is>
          <t>n8n</t>
        </is>
      </c>
    </row>
    <row r="16">
      <c r="A16" s="11" t="inlineStr">
        <is>
          <t>CH-SUB003-20261001</t>
        </is>
      </c>
      <c r="B16" s="11" t="inlineStr">
        <is>
          <t>SUB003</t>
        </is>
      </c>
      <c r="C16" s="11" t="inlineStr">
        <is>
          <t>C002</t>
        </is>
      </c>
      <c r="D16" s="4" t="n">
        <v>2000</v>
      </c>
      <c r="E16" s="12" t="n">
        <v>46296</v>
      </c>
      <c r="F16" s="11" t="inlineStr">
        <is>
          <t>Oct 2026</t>
        </is>
      </c>
      <c r="G16" s="11" t="inlineStr">
        <is>
          <t>n8n</t>
        </is>
      </c>
    </row>
    <row r="17">
      <c r="A17" s="11" t="inlineStr">
        <is>
          <t>CH-SUB005-20261001</t>
        </is>
      </c>
      <c r="B17" s="11" t="inlineStr">
        <is>
          <t>SUB005</t>
        </is>
      </c>
      <c r="C17" s="11" t="inlineStr">
        <is>
          <t>C004</t>
        </is>
      </c>
      <c r="D17" s="4" t="n">
        <v>4000</v>
      </c>
      <c r="E17" s="12" t="n">
        <v>46296</v>
      </c>
      <c r="F17" s="11" t="inlineStr">
        <is>
          <t>Oct 2026</t>
        </is>
      </c>
      <c r="G17" s="11" t="inlineStr">
        <is>
          <t>n8n</t>
        </is>
      </c>
    </row>
    <row r="18">
      <c r="A18" s="11" t="inlineStr">
        <is>
          <t>CH0013</t>
        </is>
      </c>
      <c r="B18" s="11" t="inlineStr">
        <is>
          <t>SUB004</t>
        </is>
      </c>
      <c r="C18" s="11" t="inlineStr">
        <is>
          <t>C003</t>
        </is>
      </c>
      <c r="D18" s="4" t="n">
        <v>25000</v>
      </c>
      <c r="E18" s="12" t="n">
        <v>46204</v>
      </c>
      <c r="F18" s="11" t="inlineStr">
        <is>
          <t>FY 2026</t>
        </is>
      </c>
      <c r="G18" s="11" t="inlineStr">
        <is>
          <t>auto</t>
        </is>
      </c>
    </row>
    <row r="19">
      <c r="A19" s="11" t="inlineStr">
        <is>
          <t>CH0014</t>
        </is>
      </c>
      <c r="B19" s="11" t="inlineStr">
        <is>
          <t>SUB006</t>
        </is>
      </c>
      <c r="C19" s="11" t="inlineStr">
        <is>
          <t>C004</t>
        </is>
      </c>
      <c r="D19" s="4" t="n">
        <v>8000</v>
      </c>
      <c r="E19" s="12" t="n">
        <v>46239</v>
      </c>
      <c r="F19" s="11" t="inlineStr">
        <is>
          <t>One-time</t>
        </is>
      </c>
      <c r="G19" s="11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13" customWidth="1" min="4" max="4"/>
    <col width="13" customWidth="1" min="5" max="5"/>
    <col width="15" customWidth="1" min="6" max="6"/>
    <col width="16" customWidth="1" min="7" max="7"/>
    <col width="20" customWidth="1" min="8" max="8"/>
  </cols>
  <sheetData>
    <row r="1">
      <c r="A1" s="10" t="inlineStr">
        <is>
          <t>Timestamp</t>
        </is>
      </c>
      <c r="B1" s="10" t="inlineStr">
        <is>
          <t>Email Address</t>
        </is>
      </c>
      <c r="C1" s="10" t="inlineStr">
        <is>
          <t>Service reference</t>
        </is>
      </c>
      <c r="D1" s="10" t="inlineStr">
        <is>
          <t>Payment date</t>
        </is>
      </c>
      <c r="E1" s="10" t="inlineStr">
        <is>
          <t>Payment mode</t>
        </is>
      </c>
      <c r="F1" s="10" t="inlineStr">
        <is>
          <t>Amount received</t>
        </is>
      </c>
      <c r="G1" s="10" t="inlineStr">
        <is>
          <t>UTR / Reference</t>
        </is>
      </c>
      <c r="H1" s="10" t="inlineStr">
        <is>
          <t>Note</t>
        </is>
      </c>
    </row>
    <row r="2">
      <c r="A2" s="15" t="n">
        <v>46295.54236111111</v>
      </c>
      <c r="B2" s="11" t="inlineStr">
        <is>
          <t>staff1@example.com</t>
        </is>
      </c>
      <c r="C2" s="11" t="inlineStr">
        <is>
          <t>SUB001 | Sharma &amp; Associates | GST return filing</t>
        </is>
      </c>
      <c r="D2" s="12" t="n">
        <v>46295</v>
      </c>
      <c r="E2" s="11" t="inlineStr">
        <is>
          <t>UPI</t>
        </is>
      </c>
      <c r="F2" s="4" t="n">
        <v>2000</v>
      </c>
      <c r="G2" s="11" t="inlineStr">
        <is>
          <t>UTR1001</t>
        </is>
      </c>
      <c r="H2" s="11" t="inlineStr"/>
    </row>
    <row r="3">
      <c r="A3" s="15" t="n">
        <v>46295.54305555556</v>
      </c>
      <c r="B3" s="11" t="inlineStr">
        <is>
          <t>staff1@example.com</t>
        </is>
      </c>
      <c r="C3" s="11" t="inlineStr">
        <is>
          <t>SUB004 | Patel Traders | Annual audit</t>
        </is>
      </c>
      <c r="D3" s="12" t="n">
        <v>46294</v>
      </c>
      <c r="E3" s="11" t="inlineStr">
        <is>
          <t>Bank</t>
        </is>
      </c>
      <c r="F3" s="4" t="n">
        <v>10000</v>
      </c>
      <c r="G3" s="11" t="inlineStr">
        <is>
          <t>NEFT2001</t>
        </is>
      </c>
      <c r="H3" s="11" t="inlineStr">
        <is>
          <t>part 1</t>
        </is>
      </c>
    </row>
    <row r="4">
      <c r="A4" s="15" t="n">
        <v>46295.54375</v>
      </c>
      <c r="B4" s="11" t="inlineStr">
        <is>
          <t>staff2@example.com</t>
        </is>
      </c>
      <c r="C4" s="11" t="inlineStr">
        <is>
          <t>SUB003 | Green Leaf Clinic | GST return filing</t>
        </is>
      </c>
      <c r="D4" s="12" t="n">
        <v>46293</v>
      </c>
      <c r="E4" s="11" t="inlineStr">
        <is>
          <t>Cash</t>
        </is>
      </c>
      <c r="F4" s="4" t="n">
        <v>2000</v>
      </c>
      <c r="G4" s="11" t="inlineStr"/>
      <c r="H4" s="11" t="inlineStr"/>
    </row>
    <row r="5">
      <c r="A5" s="15" t="n">
        <v>46295.54375</v>
      </c>
      <c r="B5" s="11" t="inlineStr">
        <is>
          <t>staff2@example.com</t>
        </is>
      </c>
      <c r="C5" s="11" t="inlineStr">
        <is>
          <t>SUB004 | Patel Traders | Annual audit</t>
        </is>
      </c>
      <c r="D5" s="12" t="n">
        <v>46293</v>
      </c>
      <c r="E5" s="11" t="inlineStr">
        <is>
          <t>Bank</t>
        </is>
      </c>
      <c r="F5" s="4" t="n">
        <v>5000</v>
      </c>
      <c r="G5" s="11" t="inlineStr">
        <is>
          <t>NEFT2002</t>
        </is>
      </c>
      <c r="H5" s="11" t="inlineStr">
        <is>
          <t>part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Client Payment Tracker — template (sample data)</t>
        </is>
      </c>
    </row>
    <row r="2">
      <c r="A2" s="17" t="inlineStr"/>
    </row>
    <row r="3">
      <c r="A3" s="17" t="inlineStr">
        <is>
          <t>Owner-only spreadsheet. Staff never get access: they record payments through a Google Form linked to the Payments tab.</t>
        </is>
      </c>
    </row>
    <row r="4">
      <c r="A4" s="17" t="inlineStr">
        <is>
          <t>Payments: created by the linked Google Form (columns A–H). Never edit or delete rows — correct mistakes with a new negative 'reversal' entry and a note.</t>
        </is>
      </c>
    </row>
    <row r="5">
      <c r="A5" s="17" t="inlineStr">
        <is>
          <t>Payment_links: helper formulas that turn each payment's 'Service reference' into sub_id, client_id and amount. Kept off the form tab on purpose.</t>
        </is>
      </c>
    </row>
    <row r="6">
      <c r="A6" s="17" t="inlineStr">
        <is>
          <t>Charges: one row per amount billed. The n8n 'Recurring Charges' workflow appends rows automatically.</t>
        </is>
      </c>
    </row>
    <row r="7">
      <c r="A7" s="17" t="inlineStr">
        <is>
          <t>Grey cells are formulas. All names, phones and emails are fictitious (@example.com).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</cols>
  <sheetData>
    <row r="1">
      <c r="A1" s="10">
        <f>{"sub_id";ARRAYFORMULA(IF(Payments!C2:C="","",LEFT(Payments!C2:C,6)))}</f>
        <v/>
      </c>
      <c r="B1" s="10">
        <f>{"client_id";ARRAYFORMULA(IF(A2:A="","",IFERROR(VLOOKUP(A2:A,Subscriptions!A:B,2,FALSE),"")))}</f>
        <v/>
      </c>
      <c r="C1" s="10">
        <f>{"amount";ARRAYFORMULA(IF(Payments!F2:F="","",Payments!F2:F))}</f>
        <v/>
      </c>
      <c r="D1" s="10">
        <f>{"utr_check";ARRAYFORMULA(IF(Payments!G2:G="","",IF(COUNTIF(Payments!G2:G,Payments!G2:G)&gt;1,"DUPLICATE","OK")))}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2026-10-02T17:18:01Z</dcterms:created>
  <dcterms:modified xmlns:dcterms="http://purl.org/dc/terms/" xmlns:xsi="http://www.w3.org/2001/XMLSchema-instance" xsi:type="dcterms:W3CDTF">2026-10-02T17:18:01Z</dcterms:modified>
</cp:coreProperties>
</file>